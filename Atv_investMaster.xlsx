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/>
  <xr:revisionPtr revIDLastSave="0" documentId="8_{9DE5DB77-890B-479B-B693-F43D98CF32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definedNames>
    <definedName name="aporte">Planilha1!$D$15:$D$15</definedName>
    <definedName name="patrimonio">Planilha1!$D$18:$D$18</definedName>
    <definedName name="qtd_anos">Planilha1!$D$16:$D$16</definedName>
    <definedName name="redimento_carteira">Planilha1!$D$11:$D$11</definedName>
    <definedName name="salario">Planilha1!$D$10:$D$10</definedName>
    <definedName name="sugestao_investimento">Planilha1!$D$12:$D$12</definedName>
    <definedName name="taxa_mensal">Planilha1!$D$17:$D$17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" l="1" a="1"/>
  <c r="C29" i="1"/>
  <c r="C32" i="1"/>
  <c r="C37" i="1"/>
  <c r="C36" i="1"/>
  <c r="C35" i="1"/>
  <c r="C34" i="1"/>
  <c r="C33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8" i="1" a="1"/>
  <c r="D18" i="1"/>
  <c r="D19" i="1" s="1" a="1"/>
  <c r="D19" i="1" s="1"/>
  <c r="D12" i="1"/>
  <c r="C23" i="1"/>
  <c r="D23" i="1" s="1" a="1"/>
  <c r="D23" i="1" s="1"/>
  <c r="C24" i="1"/>
  <c r="D24" i="1" s="1" a="1"/>
  <c r="D24" i="1" s="1"/>
  <c r="C25" i="1"/>
  <c r="D25" i="1" s="1" a="1"/>
  <c r="D25" i="1" s="1"/>
  <c r="C26" i="1"/>
  <c r="D26" i="1" s="1" a="1"/>
  <c r="D26" i="1" s="1"/>
  <c r="C22" i="1"/>
  <c r="D22" i="1" s="1" a="1"/>
  <c r="D22" i="1" s="1"/>
  <c r="D33" i="1" l="1"/>
  <c r="D34" i="1"/>
  <c r="D35" i="1"/>
  <c r="D36" i="1"/>
  <c r="D37" i="1"/>
  <c r="D32" i="1"/>
  <c r="D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<sst xmlns="http://schemas.openxmlformats.org/spreadsheetml/2006/main" count="70" uniqueCount="34">
  <si>
    <t>Configurações</t>
  </si>
  <si>
    <t>Salário</t>
  </si>
  <si>
    <t>Redimento Carteira</t>
  </si>
  <si>
    <t>Sugestão de investimento (30%)</t>
  </si>
  <si>
    <t>Investimento Mensal</t>
  </si>
  <si>
    <t>Quanto investir por mês?</t>
  </si>
  <si>
    <t>Por Quantos Anos ?</t>
  </si>
  <si>
    <t>Taxa de Rendimentos mensal?</t>
  </si>
  <si>
    <t>Patrimônio acumulado?</t>
  </si>
  <si>
    <t>Dividendos Mensais?</t>
  </si>
  <si>
    <t>Cenários</t>
  </si>
  <si>
    <t>Dividendo</t>
  </si>
  <si>
    <t>Quantos em 2 Anos ?</t>
  </si>
  <si>
    <t>Quantos em 5 Anos ?</t>
  </si>
  <si>
    <t>Quantos em 10 Anos ?</t>
  </si>
  <si>
    <t>Quantos em 20 Anos ?</t>
  </si>
  <si>
    <t>Quantos em 30 Anos ?</t>
  </si>
  <si>
    <t>PERFIL</t>
  </si>
  <si>
    <t>Agressivo</t>
  </si>
  <si>
    <t>Valor a ser investido por mês</t>
  </si>
  <si>
    <t>TIPO DE FII</t>
  </si>
  <si>
    <t xml:space="preserve">Percentual Sugerido </t>
  </si>
  <si>
    <t>Valores</t>
  </si>
  <si>
    <t>PAPEL</t>
  </si>
  <si>
    <t>TIOJOLO</t>
  </si>
  <si>
    <t>HÍBRIDOS</t>
  </si>
  <si>
    <t>FOFs</t>
  </si>
  <si>
    <t>DESENVOLVIMENTOS</t>
  </si>
  <si>
    <t>HOTELARIAS</t>
  </si>
  <si>
    <t>CHAVE</t>
  </si>
  <si>
    <t>%</t>
  </si>
  <si>
    <t>Conservador</t>
  </si>
  <si>
    <t/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</si>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</sst>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7">
    <font>
      <sz val="11"/>
      <color theme="1"/>
      <name val="Aptos Narrow"/>
      <family val="2"/>
      <scheme val="minor"/>
    </font>
    <font>
      <b/>
      <sz val="20"/>
      <color theme="0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Aptos Narrow"/>
      <scheme val="minor"/>
    </font>
    <font>
      <b/>
      <sz val="11"/>
      <color rgb="FFFFFFFF"/>
      <name val="Aptos Narrow"/>
      <scheme val="minor"/>
    </font>
    <font>
      <b/>
      <sz val="11"/>
      <color theme="1" tint="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/>
      <diagonal/>
    </border>
    <border>
      <left style="medium">
        <color theme="1"/>
      </left>
      <right/>
      <top/>
      <bottom/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1"/>
      </left>
      <right/>
      <top style="thin">
        <color theme="0" tint="-0.249977111117893"/>
      </top>
      <bottom/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/>
      <right/>
      <top style="thin">
        <color theme="0" tint="-0.249977111117893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/>
      <right style="thin">
        <color theme="0" tint="-0.249977111117893"/>
      </right>
      <top/>
      <bottom style="medium">
        <color theme="1"/>
      </bottom>
      <diagonal/>
    </border>
    <border>
      <left/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thin">
        <color theme="0" tint="-0.249977111117893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0" xfId="0" applyAlignment="1">
      <alignment horizontal="center"/>
    </xf>
    <xf numFmtId="0" fontId="0" fillId="3" borderId="10" xfId="0" applyFill="1" applyBorder="1"/>
    <xf numFmtId="0" fontId="0" fillId="3" borderId="12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9" fontId="0" fillId="0" borderId="0" xfId="0" applyNumberFormat="1" applyAlignment="1">
      <alignment horizontal="center"/>
    </xf>
    <xf numFmtId="164" fontId="0" fillId="0" borderId="19" xfId="0" applyNumberFormat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8" fontId="0" fillId="3" borderId="0" xfId="0" applyNumberFormat="1" applyFill="1" applyAlignment="1">
      <alignment horizontal="center"/>
    </xf>
    <xf numFmtId="8" fontId="0" fillId="3" borderId="3" xfId="0" applyNumberFormat="1" applyFill="1" applyBorder="1" applyAlignment="1">
      <alignment horizontal="center"/>
    </xf>
    <xf numFmtId="8" fontId="0" fillId="3" borderId="6" xfId="0" applyNumberFormat="1" applyFill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8" fontId="0" fillId="3" borderId="17" xfId="0" applyNumberFormat="1" applyFill="1" applyBorder="1" applyAlignment="1">
      <alignment horizontal="center"/>
    </xf>
    <xf numFmtId="8" fontId="0" fillId="3" borderId="11" xfId="0" applyNumberFormat="1" applyFill="1" applyBorder="1" applyAlignment="1">
      <alignment horizontal="center"/>
    </xf>
    <xf numFmtId="8" fontId="0" fillId="3" borderId="20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8" fontId="2" fillId="3" borderId="20" xfId="0" applyNumberFormat="1" applyFont="1" applyFill="1" applyBorder="1" applyAlignment="1">
      <alignment horizontal="center"/>
    </xf>
    <xf numFmtId="10" fontId="2" fillId="0" borderId="22" xfId="0" applyNumberFormat="1" applyFont="1" applyBorder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10" fontId="0" fillId="0" borderId="19" xfId="0" applyNumberFormat="1" applyBorder="1" applyAlignment="1">
      <alignment horizontal="center"/>
    </xf>
    <xf numFmtId="8" fontId="2" fillId="3" borderId="22" xfId="0" applyNumberFormat="1" applyFont="1" applyFill="1" applyBorder="1" applyAlignment="1">
      <alignment horizontal="center"/>
    </xf>
    <xf numFmtId="164" fontId="0" fillId="3" borderId="24" xfId="0" applyNumberFormat="1" applyFill="1" applyBorder="1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5" fillId="4" borderId="25" xfId="0" applyFont="1" applyFill="1" applyBorder="1"/>
    <xf numFmtId="0" fontId="5" fillId="4" borderId="26" xfId="0" applyFont="1" applyFill="1" applyBorder="1" applyAlignment="1">
      <alignment horizontal="center"/>
    </xf>
    <xf numFmtId="0" fontId="0" fillId="4" borderId="27" xfId="0" applyFill="1" applyBorder="1"/>
    <xf numFmtId="9" fontId="0" fillId="0" borderId="28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29" xfId="0" applyNumberFormat="1" applyBorder="1" applyAlignment="1">
      <alignment horizontal="center"/>
    </xf>
    <xf numFmtId="9" fontId="0" fillId="0" borderId="30" xfId="0" applyNumberFormat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0" fontId="6" fillId="3" borderId="7" xfId="0" applyFont="1" applyFill="1" applyBorder="1"/>
    <xf numFmtId="164" fontId="2" fillId="0" borderId="33" xfId="0" applyNumberFormat="1" applyFont="1" applyBorder="1" applyAlignment="1">
      <alignment horizontal="center"/>
    </xf>
    <xf numFmtId="0" fontId="0" fillId="0" borderId="9" xfId="0" applyBorder="1"/>
    <xf numFmtId="0" fontId="0" fillId="0" borderId="14" xfId="0" applyBorder="1"/>
    <xf numFmtId="0" fontId="0" fillId="0" borderId="13" xfId="0" applyBorder="1"/>
    <xf numFmtId="0" fontId="2" fillId="5" borderId="14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5" borderId="37" xfId="0" applyFont="1" applyFill="1" applyBorder="1"/>
    <xf numFmtId="0" fontId="2" fillId="5" borderId="38" xfId="0" applyFont="1" applyFill="1" applyBorder="1"/>
    <xf numFmtId="164" fontId="2" fillId="5" borderId="24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Planilha1!$C$31</c:f>
              <c:strCache>
                <c:ptCount val="1"/>
                <c:pt idx="0">
                  <c:v>Percentual Sugerido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Planilha1!$B$32:$B$37</c:f>
              <c:strCache>
                <c:ptCount val="6"/>
                <c:pt idx="0">
                  <c:v>PAPEL</c:v>
                </c:pt>
                <c:pt idx="1">
                  <c:v>TIOJOLO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DESENVOLVIMENTOS</c:v>
                </c:pt>
                <c:pt idx="5">
                  <c:v>HOTELARIAS</c:v>
                </c:pt>
              </c:strCache>
            </c:strRef>
          </c:cat>
          <c:val>
            <c:numRef>
              <c:f>Planilha1!$C$32:$C$37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D-4C8D-BF21-94D9ECE87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869576"/>
        <c:axId val="1037871624"/>
      </c:barChart>
      <c:catAx>
        <c:axId val="103786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71624"/>
        <c:crosses val="autoZero"/>
        <c:auto val="1"/>
        <c:lblAlgn val="ctr"/>
        <c:lblOffset val="100"/>
        <c:noMultiLvlLbl val="0"/>
      </c:catAx>
      <c:valAx>
        <c:axId val="103787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6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142875</xdr:rowOff>
    </xdr:from>
    <xdr:to>
      <xdr:col>4</xdr:col>
      <xdr:colOff>47625</xdr:colOff>
      <xdr:row>6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DAC533-708F-BC93-627C-40C6FAFA0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42875"/>
          <a:ext cx="5457825" cy="1143000"/>
        </a:xfrm>
        <a:prstGeom prst="rect">
          <a:avLst/>
        </a:prstGeom>
      </xdr:spPr>
    </xdr:pic>
    <xdr:clientData/>
  </xdr:twoCellAnchor>
  <xdr:twoCellAnchor>
    <xdr:from>
      <xdr:col>0</xdr:col>
      <xdr:colOff>533400</xdr:colOff>
      <xdr:row>38</xdr:row>
      <xdr:rowOff>161925</xdr:rowOff>
    </xdr:from>
    <xdr:to>
      <xdr:col>4</xdr:col>
      <xdr:colOff>0</xdr:colOff>
      <xdr:row>53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0D88C5-68E6-56D7-C84C-0248EC1F95F6}"/>
            </a:ext>
            <a:ext uri="{147F2762-F138-4A5C-976F-8EAC2B608ADB}">
              <a16:predDERef xmlns:a16="http://schemas.microsoft.com/office/drawing/2014/main" pred="{95DAC533-708F-BC93-627C-40C6FAFA0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9:D38"/>
  <sheetViews>
    <sheetView showGridLines="0" tabSelected="1" topLeftCell="A48" workbookViewId="0">
      <selection activeCell="G39" sqref="G39"/>
    </sheetView>
  </sheetViews>
  <sheetFormatPr defaultRowHeight="15"/>
  <cols>
    <col min="2" max="2" width="31.85546875" customWidth="1"/>
    <col min="3" max="3" width="34.85546875" customWidth="1"/>
    <col min="4" max="4" width="14.140625" customWidth="1"/>
  </cols>
  <sheetData>
    <row r="9" spans="2:4" ht="26.25">
      <c r="B9" s="56" t="s">
        <v>0</v>
      </c>
      <c r="C9" s="57"/>
      <c r="D9" s="58"/>
    </row>
    <row r="10" spans="2:4">
      <c r="B10" s="59" t="s">
        <v>1</v>
      </c>
      <c r="C10" s="60"/>
      <c r="D10" s="10">
        <v>2000</v>
      </c>
    </row>
    <row r="11" spans="2:4">
      <c r="B11" s="61" t="s">
        <v>2</v>
      </c>
      <c r="C11" s="62"/>
      <c r="D11" s="25">
        <v>6.0000000000000001E-3</v>
      </c>
    </row>
    <row r="12" spans="2:4">
      <c r="B12" s="63" t="s">
        <v>3</v>
      </c>
      <c r="C12" s="64"/>
      <c r="D12" s="27">
        <f>D10*30%</f>
        <v>600</v>
      </c>
    </row>
    <row r="14" spans="2:4" ht="27.75" customHeight="1">
      <c r="B14" s="65" t="s">
        <v>4</v>
      </c>
      <c r="C14" s="66"/>
      <c r="D14" s="67"/>
    </row>
    <row r="15" spans="2:4">
      <c r="B15" s="68" t="s">
        <v>5</v>
      </c>
      <c r="C15" s="69"/>
      <c r="D15" s="23">
        <v>200</v>
      </c>
    </row>
    <row r="16" spans="2:4">
      <c r="B16" s="70" t="s">
        <v>6</v>
      </c>
      <c r="C16" s="71"/>
      <c r="D16" s="20">
        <v>10</v>
      </c>
    </row>
    <row r="17" spans="1:4">
      <c r="B17" s="72" t="s">
        <v>7</v>
      </c>
      <c r="C17" s="73"/>
      <c r="D17" s="22">
        <v>1.0800000000000001E-2</v>
      </c>
    </row>
    <row r="18" spans="1:4">
      <c r="B18" s="74" t="s">
        <v>8</v>
      </c>
      <c r="C18" s="75"/>
      <c r="D18" s="26" cm="1">
        <f t="array" ref="D18">FV(taxa_mensal,qtd_anos*12,aporte*-1)</f>
        <v>48691.533250960019</v>
      </c>
    </row>
    <row r="19" spans="1:4">
      <c r="B19" s="76" t="s">
        <v>9</v>
      </c>
      <c r="C19" s="77"/>
      <c r="D19" s="21" cm="1">
        <f t="array" ref="D19">patrimonio*redimento_carteira</f>
        <v>292.14919950576012</v>
      </c>
    </row>
    <row r="21" spans="1:4" ht="26.25">
      <c r="B21" s="65" t="s">
        <v>10</v>
      </c>
      <c r="C21" s="66"/>
      <c r="D21" s="11" t="s">
        <v>11</v>
      </c>
    </row>
    <row r="22" spans="1:4">
      <c r="A22" s="2">
        <v>2</v>
      </c>
      <c r="B22" s="4" t="s">
        <v>12</v>
      </c>
      <c r="C22" s="12">
        <f>FV($D$17,$A22*12,$D$15*-1)</f>
        <v>5446.172732116318</v>
      </c>
      <c r="D22" s="17" cm="1">
        <f t="array" ref="D22">C22*redimento_carteira</f>
        <v>32.677036392697907</v>
      </c>
    </row>
    <row r="23" spans="1:4">
      <c r="A23" s="2">
        <v>5</v>
      </c>
      <c r="B23" s="5" t="s">
        <v>13</v>
      </c>
      <c r="C23" s="13">
        <f>FV($D$17,$A23*12,$D$15*-1)</f>
        <v>16760.803871851687</v>
      </c>
      <c r="D23" s="17" cm="1">
        <f t="array" ref="D23">C23*redimento_carteira</f>
        <v>100.56482323111013</v>
      </c>
    </row>
    <row r="24" spans="1:4">
      <c r="A24" s="2">
        <v>10</v>
      </c>
      <c r="B24" s="6" t="s">
        <v>14</v>
      </c>
      <c r="C24" s="14">
        <f>FV($D$17,$A24*12,$D$15*-1)</f>
        <v>48691.533250960019</v>
      </c>
      <c r="D24" s="17" cm="1">
        <f t="array" ref="D24">C24*redimento_carteira</f>
        <v>292.14919950576012</v>
      </c>
    </row>
    <row r="25" spans="1:4">
      <c r="A25" s="2">
        <v>20</v>
      </c>
      <c r="B25" s="7" t="s">
        <v>15</v>
      </c>
      <c r="C25" s="15">
        <f>FV($D$17,$A25*12,$D$15*-1)</f>
        <v>225409.79865970465</v>
      </c>
      <c r="D25" s="17" cm="1">
        <f t="array" ref="D25">C25*redimento_carteira</f>
        <v>1352.4587919582279</v>
      </c>
    </row>
    <row r="26" spans="1:4">
      <c r="A26" s="2">
        <v>30</v>
      </c>
      <c r="B26" s="8" t="s">
        <v>16</v>
      </c>
      <c r="C26" s="16">
        <f>FV($D$17,$A26*12,$D$15*-1)</f>
        <v>866780.96206335025</v>
      </c>
      <c r="D26" s="18" cm="1">
        <f t="array" ref="D26">C26*redimento_carteira</f>
        <v>5200.6857723801013</v>
      </c>
    </row>
    <row r="28" spans="1:4">
      <c r="B28" s="31" t="s">
        <v>17</v>
      </c>
      <c r="C28" s="32" t="s">
        <v>18</v>
      </c>
      <c r="D28" s="33"/>
    </row>
    <row r="29" spans="1:4">
      <c r="B29" s="40" t="s">
        <v>19</v>
      </c>
      <c r="C29" s="41" cm="1">
        <f t="array" ref="C29">aporte</f>
        <v>200</v>
      </c>
      <c r="D29" s="42"/>
    </row>
    <row r="30" spans="1:4">
      <c r="B30" s="43"/>
      <c r="D30" s="44"/>
    </row>
    <row r="31" spans="1:4">
      <c r="B31" s="45" t="s">
        <v>20</v>
      </c>
      <c r="C31" s="38" t="s">
        <v>21</v>
      </c>
      <c r="D31" s="46" t="s">
        <v>22</v>
      </c>
    </row>
    <row r="32" spans="1:4">
      <c r="B32" s="47" t="s">
        <v>23</v>
      </c>
      <c r="C32" s="9">
        <f>VLOOKUP($C28&amp;"-"&amp;B32,Planilha2!$A:$D,4,FALSE)</f>
        <v>0.5</v>
      </c>
      <c r="D32" s="48">
        <f>C32*$C$29</f>
        <v>100</v>
      </c>
    </row>
    <row r="33" spans="2:4">
      <c r="B33" s="49" t="s">
        <v>24</v>
      </c>
      <c r="C33" s="39">
        <f>VLOOKUP($C28&amp;"-"&amp;B33,Planilha2!$A:$D,4,FALSE)</f>
        <v>0.1</v>
      </c>
      <c r="D33" s="50">
        <f t="shared" ref="D33:D37" si="0">C33*$C$29</f>
        <v>20</v>
      </c>
    </row>
    <row r="34" spans="2:4">
      <c r="B34" s="19" t="s">
        <v>25</v>
      </c>
      <c r="C34" s="37">
        <f>VLOOKUP($C$28&amp;"-"&amp;B34,Planilha2!$A:$D,4,FALSE)</f>
        <v>0.05</v>
      </c>
      <c r="D34" s="51">
        <f t="shared" si="0"/>
        <v>10</v>
      </c>
    </row>
    <row r="35" spans="2:4">
      <c r="B35" s="24" t="s">
        <v>26</v>
      </c>
      <c r="C35" s="36">
        <f>VLOOKUP($C$28&amp;"-"&amp;B35,Planilha2!$A:$D,4,FALSE)</f>
        <v>0.05</v>
      </c>
      <c r="D35" s="50">
        <f t="shared" si="0"/>
        <v>10</v>
      </c>
    </row>
    <row r="36" spans="2:4">
      <c r="B36" s="19" t="s">
        <v>27</v>
      </c>
      <c r="C36" s="34">
        <f>VLOOKUP($C28&amp;"-"&amp;B36,Planilha2!$A:$D,4,FALSE)</f>
        <v>0.2</v>
      </c>
      <c r="D36" s="51">
        <f t="shared" si="0"/>
        <v>40</v>
      </c>
    </row>
    <row r="37" spans="2:4">
      <c r="B37" s="52" t="s">
        <v>28</v>
      </c>
      <c r="C37" s="35">
        <f>VLOOKUP($C28&amp;"-"&amp;B37,Planilha2!$A:$D,4,FALSE)</f>
        <v>0.1</v>
      </c>
      <c r="D37" s="50">
        <f t="shared" si="0"/>
        <v>20</v>
      </c>
    </row>
    <row r="38" spans="2:4">
      <c r="B38" s="53"/>
      <c r="C38" s="54"/>
      <c r="D38" s="55">
        <f>SUM(D32:D37)</f>
        <v>200</v>
      </c>
    </row>
  </sheetData>
  <mergeCells count="11">
    <mergeCell ref="B9:D9"/>
    <mergeCell ref="B10:C10"/>
    <mergeCell ref="B11:C11"/>
    <mergeCell ref="B12:C12"/>
    <mergeCell ref="B21:C21"/>
    <mergeCell ref="B14:D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C28" xr:uid="{B5222116-A052-4101-8273-C7024739628C}">
      <formula1>"Conservador,Moderado,Agressivo"</formula1>
    </dataValidation>
  </dataValidations>
  <pageMargins left="0.7" right="0.7" top="0.75" bottom="0.75" header="0.3" footer="0.3"/>
  <pageSetup paperSize="8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6753-0FFF-48C8-9EE3-DB1F9C87F865}">
  <dimension ref="A2:G20"/>
  <sheetViews>
    <sheetView workbookViewId="0">
      <selection activeCell="D11" sqref="D11"/>
    </sheetView>
  </sheetViews>
  <sheetFormatPr defaultRowHeight="15"/>
  <cols>
    <col min="1" max="1" width="32.85546875" customWidth="1"/>
    <col min="2" max="2" width="13.5703125" customWidth="1"/>
    <col min="3" max="3" width="20.140625" bestFit="1" customWidth="1"/>
  </cols>
  <sheetData>
    <row r="2" spans="1:7">
      <c r="A2" t="s">
        <v>29</v>
      </c>
      <c r="B2" s="3" t="s">
        <v>17</v>
      </c>
      <c r="C2" s="3" t="s">
        <v>20</v>
      </c>
      <c r="D2" s="3" t="s">
        <v>30</v>
      </c>
    </row>
    <row r="3" spans="1:7">
      <c r="A3" t="str">
        <f>$B3&amp;"-"&amp;C3</f>
        <v>Conservador-PAPEL</v>
      </c>
      <c r="B3" t="s">
        <v>31</v>
      </c>
      <c r="C3" s="3" t="s">
        <v>23</v>
      </c>
      <c r="D3" s="9">
        <v>0.3</v>
      </c>
    </row>
    <row r="4" spans="1:7">
      <c r="A4" t="str">
        <f t="shared" ref="A4:A20" si="0">$B4&amp;"-"&amp;C4</f>
        <v>Conservador-TIOJOLO</v>
      </c>
      <c r="B4" t="s">
        <v>31</v>
      </c>
      <c r="C4" s="3" t="s">
        <v>24</v>
      </c>
      <c r="D4" s="9">
        <v>0.5</v>
      </c>
    </row>
    <row r="5" spans="1:7">
      <c r="A5" t="str">
        <f t="shared" si="0"/>
        <v>Conservador-HÍBRIDOS</v>
      </c>
      <c r="B5" t="s">
        <v>31</v>
      </c>
      <c r="C5" s="3" t="s">
        <v>25</v>
      </c>
      <c r="D5" s="9">
        <v>0.1</v>
      </c>
    </row>
    <row r="6" spans="1:7">
      <c r="A6" t="str">
        <f t="shared" si="0"/>
        <v>Conservador-FOFs</v>
      </c>
      <c r="B6" t="s">
        <v>31</v>
      </c>
      <c r="C6" s="3" t="s">
        <v>26</v>
      </c>
      <c r="D6" s="9">
        <v>0.1</v>
      </c>
    </row>
    <row r="7" spans="1:7">
      <c r="A7" t="str">
        <f t="shared" si="0"/>
        <v>Conservador-DESENVOLVIMENTOS</v>
      </c>
      <c r="B7" t="s">
        <v>31</v>
      </c>
      <c r="C7" s="3" t="s">
        <v>27</v>
      </c>
      <c r="D7" s="9">
        <v>0</v>
      </c>
    </row>
    <row r="8" spans="1:7">
      <c r="A8" t="str">
        <f t="shared" si="0"/>
        <v>Conservador-HOTELARIAS</v>
      </c>
      <c r="B8" t="s">
        <v>31</v>
      </c>
      <c r="C8" s="3" t="s">
        <v>28</v>
      </c>
      <c r="D8" s="9">
        <v>0</v>
      </c>
      <c r="G8" s="28" t="s">
        <v>32</v>
      </c>
    </row>
    <row r="9" spans="1:7">
      <c r="A9" s="1" t="str">
        <f t="shared" si="0"/>
        <v>Moderado-PAPEL</v>
      </c>
      <c r="B9" s="1" t="s">
        <v>33</v>
      </c>
      <c r="C9" s="29" t="s">
        <v>23</v>
      </c>
      <c r="D9" s="30">
        <v>0.32</v>
      </c>
    </row>
    <row r="10" spans="1:7">
      <c r="A10" t="str">
        <f t="shared" si="0"/>
        <v>Moderado-TIOJOLO</v>
      </c>
      <c r="B10" t="s">
        <v>33</v>
      </c>
      <c r="C10" s="3" t="s">
        <v>24</v>
      </c>
      <c r="D10" s="9">
        <v>0.35</v>
      </c>
    </row>
    <row r="11" spans="1:7">
      <c r="A11" t="str">
        <f t="shared" si="0"/>
        <v>Moderado-HÍBRIDOS</v>
      </c>
      <c r="B11" t="s">
        <v>33</v>
      </c>
      <c r="C11" s="3" t="s">
        <v>25</v>
      </c>
      <c r="D11" s="9">
        <v>0.08</v>
      </c>
    </row>
    <row r="12" spans="1:7">
      <c r="A12" t="str">
        <f t="shared" si="0"/>
        <v>Moderado-FOFs</v>
      </c>
      <c r="B12" t="s">
        <v>33</v>
      </c>
      <c r="C12" s="3" t="s">
        <v>26</v>
      </c>
      <c r="D12" s="9">
        <v>0.05</v>
      </c>
    </row>
    <row r="13" spans="1:7">
      <c r="A13" t="str">
        <f t="shared" si="0"/>
        <v>Moderado-DESENVOLVIMENTOS</v>
      </c>
      <c r="B13" t="s">
        <v>33</v>
      </c>
      <c r="C13" s="3" t="s">
        <v>27</v>
      </c>
      <c r="D13" s="9">
        <v>0.1</v>
      </c>
    </row>
    <row r="14" spans="1:7">
      <c r="A14" t="str">
        <f t="shared" si="0"/>
        <v>Moderado-HOTELARIAS</v>
      </c>
      <c r="B14" t="s">
        <v>33</v>
      </c>
      <c r="C14" s="3" t="s">
        <v>28</v>
      </c>
      <c r="D14" s="9">
        <v>0.1</v>
      </c>
    </row>
    <row r="15" spans="1:7">
      <c r="A15" s="1" t="str">
        <f t="shared" si="0"/>
        <v>Agressivo-PAPEL</v>
      </c>
      <c r="B15" s="1" t="s">
        <v>18</v>
      </c>
      <c r="C15" s="29" t="s">
        <v>23</v>
      </c>
      <c r="D15" s="30">
        <v>0.5</v>
      </c>
    </row>
    <row r="16" spans="1:7">
      <c r="A16" t="str">
        <f t="shared" si="0"/>
        <v>Agressivo-TIOJOLO</v>
      </c>
      <c r="B16" t="s">
        <v>18</v>
      </c>
      <c r="C16" s="3" t="s">
        <v>24</v>
      </c>
      <c r="D16" s="9">
        <v>0.1</v>
      </c>
    </row>
    <row r="17" spans="1:4">
      <c r="A17" t="str">
        <f t="shared" si="0"/>
        <v>Agressivo-HÍBRIDOS</v>
      </c>
      <c r="B17" t="s">
        <v>18</v>
      </c>
      <c r="C17" s="3" t="s">
        <v>25</v>
      </c>
      <c r="D17" s="9">
        <v>0.05</v>
      </c>
    </row>
    <row r="18" spans="1:4">
      <c r="A18" t="str">
        <f t="shared" si="0"/>
        <v>Agressivo-FOFs</v>
      </c>
      <c r="B18" t="s">
        <v>18</v>
      </c>
      <c r="C18" s="3" t="s">
        <v>26</v>
      </c>
      <c r="D18" s="9">
        <v>0.05</v>
      </c>
    </row>
    <row r="19" spans="1:4">
      <c r="A19" t="str">
        <f t="shared" si="0"/>
        <v>Agressivo-DESENVOLVIMENTOS</v>
      </c>
      <c r="B19" t="s">
        <v>18</v>
      </c>
      <c r="C19" s="3" t="s">
        <v>27</v>
      </c>
      <c r="D19" s="9">
        <v>0.2</v>
      </c>
    </row>
    <row r="20" spans="1:4">
      <c r="A20" t="str">
        <f t="shared" si="0"/>
        <v>Agressivo-HOTELARIAS</v>
      </c>
      <c r="B20" t="s">
        <v>18</v>
      </c>
      <c r="C20" s="3" t="s">
        <v>28</v>
      </c>
      <c r="D20" s="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2026-09-16T02:25:11Z</dcterms:created>
  <dcterms:modified xsi:type="dcterms:W3CDTF">2026-10-06T23:49:29Z</dcterms:modified>
  <cp:category/>
  <cp:contentStatus/>
</cp:coreProperties>
</file>